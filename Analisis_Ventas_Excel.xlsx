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QUIPO\OneDrive\Documentos\"/>
    </mc:Choice>
  </mc:AlternateContent>
  <xr:revisionPtr revIDLastSave="0" documentId="13_ncr:1_{6692D57D-C1E2-42E6-ACED-BF14A8B0156F}" xr6:coauthVersionLast="47" xr6:coauthVersionMax="47" xr10:uidLastSave="{00000000-0000-0000-0000-000000000000}"/>
  <bookViews>
    <workbookView xWindow="-120" yWindow="-120" windowWidth="20730" windowHeight="11760" firstSheet="1" activeTab="2" xr2:uid="{0DD09CCB-8744-435D-8C06-643867292FC1}"/>
  </bookViews>
  <sheets>
    <sheet name="Datos_Raw" sheetId="1" r:id="rId1"/>
    <sheet name="Datos_Limpios" sheetId="5" r:id="rId2"/>
    <sheet name="Resume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4" l="1"/>
  <c r="C2" i="4"/>
  <c r="B2" i="4"/>
  <c r="L3" i="5"/>
  <c r="M3" i="5" s="1"/>
  <c r="N3" i="5" s="1"/>
  <c r="O3" i="5" s="1"/>
  <c r="L4" i="5"/>
  <c r="M4" i="5" s="1"/>
  <c r="N4" i="5" s="1"/>
  <c r="O4" i="5" s="1"/>
  <c r="L5" i="5"/>
  <c r="M5" i="5" s="1"/>
  <c r="N5" i="5" s="1"/>
  <c r="L6" i="5"/>
  <c r="L7" i="5"/>
  <c r="M7" i="5" s="1"/>
  <c r="N7" i="5" s="1"/>
  <c r="O7" i="5" s="1"/>
  <c r="L8" i="5"/>
  <c r="M8" i="5" s="1"/>
  <c r="N8" i="5" s="1"/>
  <c r="L9" i="5"/>
  <c r="M9" i="5" s="1"/>
  <c r="N9" i="5" s="1"/>
  <c r="O9" i="5" s="1"/>
  <c r="L10" i="5"/>
  <c r="L11" i="5"/>
  <c r="M11" i="5" s="1"/>
  <c r="N11" i="5" s="1"/>
  <c r="O11" i="5" s="1"/>
  <c r="L12" i="5"/>
  <c r="M12" i="5" s="1"/>
  <c r="N12" i="5" s="1"/>
  <c r="O12" i="5" s="1"/>
  <c r="L13" i="5"/>
  <c r="M13" i="5" s="1"/>
  <c r="N13" i="5" s="1"/>
  <c r="L2" i="5"/>
  <c r="O5" i="5"/>
  <c r="O8" i="5"/>
  <c r="O13" i="5"/>
  <c r="M10" i="5" l="1"/>
  <c r="N10" i="5" s="1"/>
  <c r="O10" i="5" s="1"/>
  <c r="M6" i="5"/>
  <c r="N6" i="5" s="1"/>
  <c r="O6" i="5" s="1"/>
  <c r="M2" i="5"/>
  <c r="N2" i="5" s="1"/>
  <c r="O2" i="5" l="1"/>
  <c r="A2" i="4" s="1"/>
  <c r="E2" i="4"/>
</calcChain>
</file>

<file path=xl/sharedStrings.xml><?xml version="1.0" encoding="utf-8"?>
<sst xmlns="http://schemas.openxmlformats.org/spreadsheetml/2006/main" count="238" uniqueCount="76">
  <si>
    <t>Pedido</t>
  </si>
  <si>
    <t>Fecha</t>
  </si>
  <si>
    <t>Cliente</t>
  </si>
  <si>
    <t>Ciudad</t>
  </si>
  <si>
    <t>Producto</t>
  </si>
  <si>
    <t>Categoría</t>
  </si>
  <si>
    <t>PrecioUnitario</t>
  </si>
  <si>
    <t>Cantidad</t>
  </si>
  <si>
    <t>Descuento</t>
  </si>
  <si>
    <t>Vendedor</t>
  </si>
  <si>
    <t>Estado</t>
  </si>
  <si>
    <t>Ana Torres</t>
  </si>
  <si>
    <t>Valledupar</t>
  </si>
  <si>
    <t>Soporte laptop</t>
  </si>
  <si>
    <t>Accesorios</t>
  </si>
  <si>
    <t>0.05</t>
  </si>
  <si>
    <t>Laura</t>
  </si>
  <si>
    <t>Completado</t>
  </si>
  <si>
    <t>Carlos Pérez</t>
  </si>
  <si>
    <t>Teclado</t>
  </si>
  <si>
    <t>Periféricos</t>
  </si>
  <si>
    <t>maria gomez</t>
  </si>
  <si>
    <t>Barranquilla</t>
  </si>
  <si>
    <t>Mouse</t>
  </si>
  <si>
    <t>0.10</t>
  </si>
  <si>
    <t>Diego</t>
  </si>
  <si>
    <t>Juan Díaz</t>
  </si>
  <si>
    <t>Webcam</t>
  </si>
  <si>
    <t>Pendiente</t>
  </si>
  <si>
    <t>Sofía Rojas</t>
  </si>
  <si>
    <t>Bogotá</t>
  </si>
  <si>
    <t>Monitor</t>
  </si>
  <si>
    <t>Monitores</t>
  </si>
  <si>
    <t>Pedro Ruiz</t>
  </si>
  <si>
    <t>Bogota</t>
  </si>
  <si>
    <t>Devuelto</t>
  </si>
  <si>
    <t>carlos perez</t>
  </si>
  <si>
    <t>Luisa Martínez</t>
  </si>
  <si>
    <t>Sincelejo</t>
  </si>
  <si>
    <t>Audífonos</t>
  </si>
  <si>
    <t>Mateo Castro</t>
  </si>
  <si>
    <t>Valentina Mora</t>
  </si>
  <si>
    <t>Camilo López</t>
  </si>
  <si>
    <t>Cancelado</t>
  </si>
  <si>
    <t>Venta Bruta</t>
  </si>
  <si>
    <t>Valor Descuento</t>
  </si>
  <si>
    <t>Venta Neta</t>
  </si>
  <si>
    <t>Venta Reconocida</t>
  </si>
  <si>
    <t>Carlos Perez</t>
  </si>
  <si>
    <t>Maria Gomez</t>
  </si>
  <si>
    <t>Precio Unitario</t>
  </si>
  <si>
    <t>Ventas Netas Reconocidas</t>
  </si>
  <si>
    <t>Unidades Vendidas</t>
  </si>
  <si>
    <t>Numero de Pedidos validos</t>
  </si>
  <si>
    <t>Ventas por Ciudad</t>
  </si>
  <si>
    <t>Ventas por Producto</t>
  </si>
  <si>
    <t>Ventas por Vendedor</t>
  </si>
  <si>
    <t>Cantidad de pedidos por estado</t>
  </si>
  <si>
    <t>Ticket Promedio</t>
  </si>
  <si>
    <t>De 1 a 4 ventas</t>
  </si>
  <si>
    <t xml:space="preserve">De 1 a 3 ventas </t>
  </si>
  <si>
    <t>De 3 a 6</t>
  </si>
  <si>
    <t>9 Vendidos</t>
  </si>
  <si>
    <t>1 Cancelado</t>
  </si>
  <si>
    <t>1 devuelto</t>
  </si>
  <si>
    <t>1 pendiente</t>
  </si>
  <si>
    <t>Ventas</t>
  </si>
  <si>
    <t>Productos</t>
  </si>
  <si>
    <t>Audifonos</t>
  </si>
  <si>
    <t>Soporte Laptop</t>
  </si>
  <si>
    <t>Pedidos Completados</t>
  </si>
  <si>
    <t>Suma</t>
  </si>
  <si>
    <t>Promedio</t>
  </si>
  <si>
    <t>Total</t>
  </si>
  <si>
    <t>Recuento</t>
  </si>
  <si>
    <t>Venta reconocida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</si>
</sst>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44" formatCode="_-&quot;$&quot;\ * #,##0.00_-;\-&quot;$&quot;\ * #,##0.00_-;_-&quot;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Font="1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 applyAlignment="1">
      <alignment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NumberFormat="1"/>
    <xf numFmtId="3" fontId="0" fillId="0" borderId="0" xfId="0" applyNumberForma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2" fontId="0" fillId="0" borderId="0" xfId="0" applyNumberFormat="1"/>
    <xf numFmtId="0" fontId="0" fillId="0" borderId="0" xfId="0" applyNumberFormat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5" borderId="0" xfId="0" applyNumberFormat="1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0" borderId="0" xfId="0" applyNumberFormat="1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9" fontId="0" fillId="0" borderId="0" xfId="0" applyNumberFormat="1" applyFont="1" applyAlignment="1">
      <alignment horizontal="center" vertical="center" wrapText="1"/>
    </xf>
    <xf numFmtId="0" fontId="0" fillId="0" borderId="0" xfId="1" applyNumberFormat="1" applyFont="1"/>
    <xf numFmtId="6" fontId="0" fillId="0" borderId="0" xfId="0" applyNumberFormat="1" applyAlignment="1">
      <alignment vertical="center" wrapText="1"/>
    </xf>
    <xf numFmtId="0" fontId="4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Moneda" xfId="1" builtinId="4"/>
    <cellStyle name="Normal" xfId="0" builtinId="0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numFmt numFmtId="13" formatCode="0%"/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numFmt numFmtId="19" formatCode="d/mm/yyyy"/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3" formatCode="0%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Pedidos</a:t>
            </a:r>
            <a:r>
              <a:rPr lang="en-US" baseline="0"/>
              <a:t> Completado</a:t>
            </a:r>
            <a:r>
              <a:rPr lang="en-US"/>
              <a:t>s por Ciudad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Resumen!$B$10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Resumen!$A$11:$A$14</c:f>
              <c:strCache>
                <c:ptCount val="4"/>
                <c:pt idx="0">
                  <c:v>Valledupar</c:v>
                </c:pt>
                <c:pt idx="1">
                  <c:v>Bogotá</c:v>
                </c:pt>
                <c:pt idx="2">
                  <c:v>Barranquilla</c:v>
                </c:pt>
                <c:pt idx="3">
                  <c:v>Sincelejo</c:v>
                </c:pt>
              </c:strCache>
            </c:strRef>
          </c:cat>
          <c:val>
            <c:numRef>
              <c:f>Resumen!$B$11:$B$14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5-4366-89AC-ADFA58A5F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5302815"/>
        <c:axId val="768635119"/>
      </c:barChart>
      <c:catAx>
        <c:axId val="85530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68635119"/>
        <c:crosses val="autoZero"/>
        <c:auto val="1"/>
        <c:lblAlgn val="ctr"/>
        <c:lblOffset val="100"/>
        <c:noMultiLvlLbl val="0"/>
      </c:catAx>
      <c:valAx>
        <c:axId val="76863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5530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Unidades</a:t>
            </a:r>
            <a:r>
              <a:rPr lang="es-CO" baseline="0"/>
              <a:t> Vendidas Por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Resumen!$F$7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Resumen!$E$8:$E$13</c:f>
              <c:strCache>
                <c:ptCount val="6"/>
                <c:pt idx="0">
                  <c:v>Audifonos</c:v>
                </c:pt>
                <c:pt idx="1">
                  <c:v>Monitor</c:v>
                </c:pt>
                <c:pt idx="2">
                  <c:v>Mouse</c:v>
                </c:pt>
                <c:pt idx="3">
                  <c:v>Soporte Laptop</c:v>
                </c:pt>
                <c:pt idx="4">
                  <c:v>Teclado</c:v>
                </c:pt>
                <c:pt idx="5">
                  <c:v>Webcam</c:v>
                </c:pt>
              </c:strCache>
            </c:strRef>
          </c:cat>
          <c:val>
            <c:numRef>
              <c:f>Resumen!$F$8:$F$13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1-4E4B-8EEC-95E6F4401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4333119"/>
        <c:axId val="1364336031"/>
      </c:barChart>
      <c:catAx>
        <c:axId val="1364333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64336031"/>
        <c:crosses val="autoZero"/>
        <c:auto val="1"/>
        <c:lblAlgn val="ctr"/>
        <c:lblOffset val="100"/>
        <c:noMultiLvlLbl val="0"/>
      </c:catAx>
      <c:valAx>
        <c:axId val="136433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6433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Resumen!$B$22</c:f>
              <c:strCache>
                <c:ptCount val="1"/>
                <c:pt idx="0">
                  <c:v>Venta reconocida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Resumen!$A$23:$A$26</c:f>
              <c:strCache>
                <c:ptCount val="4"/>
                <c:pt idx="0">
                  <c:v>Bogotá</c:v>
                </c:pt>
                <c:pt idx="1">
                  <c:v>Valledupar</c:v>
                </c:pt>
                <c:pt idx="2">
                  <c:v>Barranquilla</c:v>
                </c:pt>
                <c:pt idx="3">
                  <c:v>Sincelejo</c:v>
                </c:pt>
              </c:strCache>
            </c:strRef>
          </c:cat>
          <c:val>
            <c:numRef>
              <c:f>Resumen!$B$23:$B$26</c:f>
              <c:numCache>
                <c:formatCode>"$"#,##0_);[Red]\("$"#,##0\)</c:formatCode>
                <c:ptCount val="4"/>
                <c:pt idx="0">
                  <c:v>2262000</c:v>
                </c:pt>
                <c:pt idx="1">
                  <c:v>1151500</c:v>
                </c:pt>
                <c:pt idx="2">
                  <c:v>361500</c:v>
                </c:pt>
                <c:pt idx="3">
                  <c:v>171000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B-42E1-A5DE-FB48948E5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7428783"/>
        <c:axId val="1317433359"/>
      </c:barChart>
      <c:catAx>
        <c:axId val="131742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17433359"/>
        <c:crosses val="autoZero"/>
        <c:auto val="1"/>
        <c:lblAlgn val="ctr"/>
        <c:lblOffset val="100"/>
        <c:noMultiLvlLbl val="0"/>
      </c:catAx>
      <c:valAx>
        <c:axId val="131743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17428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Resumen!$F$24</c:f>
              <c:strCache>
                <c:ptCount val="1"/>
                <c:pt idx="0">
                  <c:v>Venta reconocida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Resumen!$E$25:$E$26</c:f>
              <c:strCache>
                <c:ptCount val="2"/>
                <c:pt idx="0">
                  <c:v>Diego</c:v>
                </c:pt>
                <c:pt idx="1">
                  <c:v>Laura</c:v>
                </c:pt>
              </c:strCache>
            </c:strRef>
          </c:cat>
          <c:val>
            <c:numRef>
              <c:f>Resumen!$F$25:$F$26</c:f>
              <c:numCache>
                <c:formatCode>"$"#,##0_);[Red]\("$"#,##0\)</c:formatCode>
                <c:ptCount val="2"/>
                <c:pt idx="0">
                  <c:v>3574500</c:v>
                </c:pt>
                <c:pt idx="1">
                  <c:v>371500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D-4F62-AE22-98072FAEE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3174447"/>
        <c:axId val="1323176111"/>
      </c:barChart>
      <c:catAx>
        <c:axId val="132317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3176111"/>
        <c:crosses val="autoZero"/>
        <c:auto val="1"/>
        <c:lblAlgn val="ctr"/>
        <c:lblOffset val="100"/>
        <c:noMultiLvlLbl val="0"/>
      </c:catAx>
      <c:valAx>
        <c:axId val="132317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317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</xdr:colOff>
      <xdr:row>4</xdr:row>
      <xdr:rowOff>166687</xdr:rowOff>
    </xdr:from>
    <xdr:to>
      <xdr:col>2</xdr:col>
      <xdr:colOff>1819275</xdr:colOff>
      <xdr:row>19</xdr:row>
      <xdr:rowOff>52387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19D7F31-2050-49E7-B772-8AC10F50C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1233487</xdr:colOff>
      <xdr:row>5</xdr:row>
      <xdr:rowOff>14287</xdr:rowOff>
    </xdr:from>
    <xdr:to>
      <xdr:col>7</xdr:col>
      <xdr:colOff>109537</xdr:colOff>
      <xdr:row>19</xdr:row>
      <xdr:rowOff>90487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B03FD13-226D-47D6-A01B-EFEDA4AA7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9525</xdr:rowOff>
    </xdr:from>
    <xdr:to>
      <xdr:col>2</xdr:col>
      <xdr:colOff>1819275</xdr:colOff>
      <xdr:row>34</xdr:row>
      <xdr:rowOff>85725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EABDF86-D044-4C97-84F7-173067B45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1228725</xdr:colOff>
      <xdr:row>20</xdr:row>
      <xdr:rowOff>85725</xdr:rowOff>
    </xdr:from>
    <xdr:to>
      <xdr:col>7</xdr:col>
      <xdr:colOff>104775</xdr:colOff>
      <xdr:row>34</xdr:row>
      <xdr:rowOff>161925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41764E7-3A88-49A8-AC8B-FE0135505F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9526</xdr:colOff>
      <xdr:row>38</xdr:row>
      <xdr:rowOff>95251</xdr:rowOff>
    </xdr:from>
    <xdr:to>
      <xdr:col>3</xdr:col>
      <xdr:colOff>476250</xdr:colOff>
      <xdr:row>40</xdr:row>
      <xdr:rowOff>1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BF1E4039-A497-4CC6-B40F-9F25A0EBE6C8}"/>
            </a:ext>
          </a:extLst>
        </xdr:cNvPr>
        <xdr:cNvSpPr txBox="1"/>
      </xdr:nvSpPr>
      <xdr:spPr>
        <a:xfrm>
          <a:off x="9526" y="7400926"/>
          <a:ext cx="5381624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/>
            <a:t>Bogotá concentró la mayor venta reconocida, con $2.262.000.</a:t>
          </a:r>
        </a:p>
      </xdr:txBody>
    </xdr:sp>
    <xdr:clientData/>
  </xdr:twoCellAnchor>
  <xdr:twoCellAnchor>
    <xdr:from>
      <xdr:col>0</xdr:col>
      <xdr:colOff>47625</xdr:colOff>
      <xdr:row>35</xdr:row>
      <xdr:rowOff>0</xdr:rowOff>
    </xdr:from>
    <xdr:to>
      <xdr:col>1</xdr:col>
      <xdr:colOff>1143000</xdr:colOff>
      <xdr:row>37</xdr:row>
      <xdr:rowOff>180975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7AB2CDF8-D49C-4F08-B9F6-B2B2A89EB426}"/>
            </a:ext>
          </a:extLst>
        </xdr:cNvPr>
        <xdr:cNvSpPr txBox="1"/>
      </xdr:nvSpPr>
      <xdr:spPr>
        <a:xfrm>
          <a:off x="47625" y="6734175"/>
          <a:ext cx="2867025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/>
            <a:t>CONCLUSIONES</a:t>
          </a:r>
        </a:p>
      </xdr:txBody>
    </xdr:sp>
    <xdr:clientData/>
  </xdr:twoCellAnchor>
  <xdr:twoCellAnchor>
    <xdr:from>
      <xdr:col>0</xdr:col>
      <xdr:colOff>0</xdr:colOff>
      <xdr:row>40</xdr:row>
      <xdr:rowOff>9525</xdr:rowOff>
    </xdr:from>
    <xdr:to>
      <xdr:col>4</xdr:col>
      <xdr:colOff>904875</xdr:colOff>
      <xdr:row>41</xdr:row>
      <xdr:rowOff>123825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93ABBA85-AB24-4E4A-863F-1DC2A7A3A2FC}"/>
            </a:ext>
          </a:extLst>
        </xdr:cNvPr>
        <xdr:cNvSpPr txBox="1"/>
      </xdr:nvSpPr>
      <xdr:spPr>
        <a:xfrm>
          <a:off x="0" y="7696200"/>
          <a:ext cx="737235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/>
            <a:t>Los monitores generaron $3.042.000, por lo que fueron el producto con mayor aporte.</a:t>
          </a:r>
        </a:p>
      </xdr:txBody>
    </xdr:sp>
    <xdr:clientData/>
  </xdr:twoCellAnchor>
  <xdr:twoCellAnchor>
    <xdr:from>
      <xdr:col>0</xdr:col>
      <xdr:colOff>0</xdr:colOff>
      <xdr:row>41</xdr:row>
      <xdr:rowOff>123825</xdr:rowOff>
    </xdr:from>
    <xdr:to>
      <xdr:col>3</xdr:col>
      <xdr:colOff>1104900</xdr:colOff>
      <xdr:row>43</xdr:row>
      <xdr:rowOff>76201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66BC315E-C30F-4687-94D1-49AFBF8DC5C7}"/>
            </a:ext>
          </a:extLst>
        </xdr:cNvPr>
        <xdr:cNvSpPr txBox="1"/>
      </xdr:nvSpPr>
      <xdr:spPr>
        <a:xfrm>
          <a:off x="0" y="8001000"/>
          <a:ext cx="6019800" cy="3333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600"/>
            <a:t>Diego registró $3.574.500 en ventas reconocidas, superando a Laura.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18980C-5C9C-4F56-BE45-E327DE27FB0B}" name="Tabla3" displayName="Tabla3" ref="A1:O13" totalsRowShown="0" headerRowDxfId="31" dataDxfId="20">
  <autoFilter ref="A1:O13" xr:uid="{5718980C-5C9C-4F56-BE45-E327DE27FB0B}"/>
  <tableColumns count="15">
    <tableColumn id="1" xr3:uid="{EC38963B-037F-4A85-9F15-EDA3B5D7BDC4}" name="Pedido" dataDxfId="30" totalsRowDxfId="14"/>
    <tableColumn id="2" xr3:uid="{16B9B646-E4DF-4E1D-BB06-9DF87036842A}" name="Fecha" dataDxfId="29" totalsRowDxfId="13"/>
    <tableColumn id="3" xr3:uid="{E6D67C06-BF17-4D7B-ABF8-1068356DBB84}" name="Cliente" dataDxfId="28" totalsRowDxfId="12"/>
    <tableColumn id="4" xr3:uid="{0DE7C270-8186-4672-AA92-1BE4ED71A62D}" name="Ciudad" dataDxfId="27" totalsRowDxfId="11"/>
    <tableColumn id="5" xr3:uid="{9DAF31FC-ACF9-43B5-A55A-C71FCBC54642}" name="Producto" dataDxfId="26" totalsRowDxfId="10"/>
    <tableColumn id="6" xr3:uid="{34F6B463-8DAA-41A8-AB9B-FB458EF2F95F}" name="Categoría" dataDxfId="25" totalsRowDxfId="9"/>
    <tableColumn id="7" xr3:uid="{36E01A91-93A7-45D7-A0D0-A8DFC0DB0EF7}" name="Precio Unitario" dataDxfId="24" totalsRowDxfId="8"/>
    <tableColumn id="8" xr3:uid="{7D3567B0-B2DB-4F94-B14F-6D6412352B24}" name="Cantidad" dataDxfId="23" totalsRowDxfId="7"/>
    <tableColumn id="9" xr3:uid="{189DE82F-5799-4A0D-A4F6-56D9C9634D26}" name="Descuento" dataDxfId="22" totalsRowDxfId="6"/>
    <tableColumn id="10" xr3:uid="{DDAF2B70-0196-436F-BAC0-6824BD8CB008}" name="Vendedor" dataDxfId="21" totalsRowDxfId="5"/>
    <tableColumn id="11" xr3:uid="{94E0EDF2-6E0B-47EF-B900-D885F5BFC97A}" name="Estado" dataDxfId="19" totalsRowDxfId="0"/>
    <tableColumn id="12" xr3:uid="{DDACA09D-5E6F-4DFA-883C-99EBA8DAA345}" name="Venta Bruta" dataDxfId="15" totalsRowDxfId="4">
      <calculatedColumnFormula>H2*G2</calculatedColumnFormula>
    </tableColumn>
    <tableColumn id="13" xr3:uid="{66B2E5EF-C2CE-4072-A731-D0E5FD6C1705}" name="Valor Descuento" dataDxfId="18" totalsRowDxfId="3">
      <calculatedColumnFormula>Tabla3[[#This Row],[Venta Bruta]]*Tabla3[[#This Row],[Descuento]]</calculatedColumnFormula>
    </tableColumn>
    <tableColumn id="14" xr3:uid="{082C8324-E2B4-4D00-8036-BBC2B8DC58C7}" name="Venta Neta" dataDxfId="17" totalsRowDxfId="2">
      <calculatedColumnFormula>Tabla3[[#This Row],[Venta Bruta]]-Tabla3[[#This Row],[Valor Descuento]]</calculatedColumnFormula>
    </tableColumn>
    <tableColumn id="15" xr3:uid="{BE1592FC-2538-43F2-9C2F-CA46ECF92FED}" name="Venta Reconocida" dataDxfId="16" totalsRowDxfId="1">
      <calculatedColumnFormula>IF(Tabla3[[#This Row],[Estado]]="Completado", Tabla3[[#This Row],[Venta Neta]],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B8F40-BCF5-4694-B5E6-ABFEBC8181DB}">
  <dimension ref="A1:L14"/>
  <sheetViews>
    <sheetView topLeftCell="E4" workbookViewId="0">
      <selection activeCell="O12" sqref="O12"/>
    </sheetView>
  </sheetViews>
  <sheetFormatPr baseColWidth="10" defaultRowHeight="15" x14ac:dyDescent="0.25"/>
  <sheetData>
    <row r="1" spans="1:12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2" ht="30" x14ac:dyDescent="0.25">
      <c r="A2" s="3">
        <v>1001</v>
      </c>
      <c r="B2" s="4">
        <v>46025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85000</v>
      </c>
      <c r="H2" s="3">
        <v>2</v>
      </c>
      <c r="I2" s="3" t="s">
        <v>15</v>
      </c>
      <c r="J2" s="3" t="s">
        <v>16</v>
      </c>
      <c r="K2" s="3" t="s">
        <v>17</v>
      </c>
      <c r="L2" s="5"/>
    </row>
    <row r="3" spans="1:12" ht="30" x14ac:dyDescent="0.25">
      <c r="A3" s="3">
        <v>1002</v>
      </c>
      <c r="B3" s="4">
        <v>46026</v>
      </c>
      <c r="C3" s="3" t="s">
        <v>18</v>
      </c>
      <c r="D3" s="3" t="s">
        <v>12</v>
      </c>
      <c r="E3" s="3" t="s">
        <v>19</v>
      </c>
      <c r="F3" s="8" t="s">
        <v>20</v>
      </c>
      <c r="G3" s="3">
        <v>70000</v>
      </c>
      <c r="H3" s="3">
        <v>1</v>
      </c>
      <c r="I3" s="3">
        <v>0</v>
      </c>
      <c r="J3" s="3" t="s">
        <v>16</v>
      </c>
      <c r="K3" s="3" t="s">
        <v>17</v>
      </c>
    </row>
    <row r="4" spans="1:12" ht="30" x14ac:dyDescent="0.25">
      <c r="A4" s="3">
        <v>1003</v>
      </c>
      <c r="B4" s="4">
        <v>46027</v>
      </c>
      <c r="C4" s="3" t="s">
        <v>21</v>
      </c>
      <c r="D4" s="3" t="s">
        <v>22</v>
      </c>
      <c r="E4" s="3" t="s">
        <v>23</v>
      </c>
      <c r="F4" s="3" t="s">
        <v>20</v>
      </c>
      <c r="G4" s="3">
        <v>45000</v>
      </c>
      <c r="H4" s="3">
        <v>3</v>
      </c>
      <c r="I4" s="3" t="s">
        <v>24</v>
      </c>
      <c r="J4" s="3" t="s">
        <v>25</v>
      </c>
      <c r="K4" s="3" t="s">
        <v>17</v>
      </c>
    </row>
    <row r="5" spans="1:12" x14ac:dyDescent="0.25">
      <c r="A5" s="3">
        <v>1004</v>
      </c>
      <c r="B5" s="4">
        <v>46027</v>
      </c>
      <c r="C5" s="3" t="s">
        <v>26</v>
      </c>
      <c r="D5" s="3" t="s">
        <v>12</v>
      </c>
      <c r="E5" s="3" t="s">
        <v>27</v>
      </c>
      <c r="F5" s="3" t="s">
        <v>20</v>
      </c>
      <c r="G5" s="3">
        <v>120000</v>
      </c>
      <c r="H5" s="3">
        <v>1</v>
      </c>
      <c r="I5" s="3" t="s">
        <v>15</v>
      </c>
      <c r="J5" s="3" t="s">
        <v>16</v>
      </c>
      <c r="K5" s="3" t="s">
        <v>28</v>
      </c>
    </row>
    <row r="6" spans="1:12" ht="30" x14ac:dyDescent="0.25">
      <c r="A6" s="3">
        <v>1005</v>
      </c>
      <c r="B6" s="4">
        <v>46029</v>
      </c>
      <c r="C6" s="3" t="s">
        <v>29</v>
      </c>
      <c r="D6" s="3" t="s">
        <v>30</v>
      </c>
      <c r="E6" s="3" t="s">
        <v>31</v>
      </c>
      <c r="F6" s="3" t="s">
        <v>32</v>
      </c>
      <c r="G6" s="3">
        <v>780000</v>
      </c>
      <c r="H6" s="3">
        <v>1</v>
      </c>
      <c r="I6" s="3">
        <v>0</v>
      </c>
      <c r="J6" s="3" t="s">
        <v>25</v>
      </c>
      <c r="K6" s="3" t="s">
        <v>17</v>
      </c>
    </row>
    <row r="7" spans="1:12" ht="30" x14ac:dyDescent="0.25">
      <c r="A7" s="3">
        <v>1006</v>
      </c>
      <c r="B7" s="4">
        <v>46031</v>
      </c>
      <c r="C7" s="3" t="s">
        <v>33</v>
      </c>
      <c r="D7" s="3" t="s">
        <v>34</v>
      </c>
      <c r="E7" s="3" t="s">
        <v>31</v>
      </c>
      <c r="F7" s="3" t="s">
        <v>32</v>
      </c>
      <c r="G7" s="3">
        <v>780000</v>
      </c>
      <c r="H7" s="3">
        <v>2</v>
      </c>
      <c r="I7" s="3" t="s">
        <v>15</v>
      </c>
      <c r="J7" s="3" t="s">
        <v>25</v>
      </c>
      <c r="K7" s="3" t="s">
        <v>17</v>
      </c>
    </row>
    <row r="8" spans="1:12" ht="30" x14ac:dyDescent="0.25">
      <c r="A8" s="3">
        <v>1007</v>
      </c>
      <c r="B8" s="4">
        <v>46033</v>
      </c>
      <c r="C8" s="3" t="s">
        <v>11</v>
      </c>
      <c r="D8" s="3" t="s">
        <v>12</v>
      </c>
      <c r="E8" s="3" t="s">
        <v>13</v>
      </c>
      <c r="F8" s="3" t="s">
        <v>14</v>
      </c>
      <c r="G8" s="3">
        <v>85000</v>
      </c>
      <c r="H8" s="3">
        <v>1</v>
      </c>
      <c r="I8" s="3">
        <v>0</v>
      </c>
      <c r="J8" s="3" t="s">
        <v>16</v>
      </c>
      <c r="K8" s="3" t="s">
        <v>35</v>
      </c>
    </row>
    <row r="9" spans="1:12" ht="30" x14ac:dyDescent="0.25">
      <c r="A9" s="3">
        <v>1008</v>
      </c>
      <c r="B9" s="4">
        <v>46034</v>
      </c>
      <c r="C9" s="3" t="s">
        <v>36</v>
      </c>
      <c r="D9" s="3" t="s">
        <v>12</v>
      </c>
      <c r="E9" s="3" t="s">
        <v>19</v>
      </c>
      <c r="F9" s="3" t="s">
        <v>20</v>
      </c>
      <c r="G9" s="3">
        <v>70000</v>
      </c>
      <c r="H9" s="3">
        <v>2</v>
      </c>
      <c r="I9" s="3">
        <v>0</v>
      </c>
      <c r="J9" s="3" t="s">
        <v>16</v>
      </c>
      <c r="K9" s="3" t="s">
        <v>17</v>
      </c>
    </row>
    <row r="10" spans="1:12" ht="30" x14ac:dyDescent="0.25">
      <c r="A10" s="3">
        <v>1009</v>
      </c>
      <c r="B10" s="4">
        <v>46035</v>
      </c>
      <c r="C10" s="3" t="s">
        <v>37</v>
      </c>
      <c r="D10" s="3" t="s">
        <v>38</v>
      </c>
      <c r="E10" s="3" t="s">
        <v>39</v>
      </c>
      <c r="F10" s="3" t="s">
        <v>20</v>
      </c>
      <c r="G10" s="3">
        <v>95000</v>
      </c>
      <c r="H10" s="3">
        <v>2</v>
      </c>
      <c r="I10" s="3" t="s">
        <v>24</v>
      </c>
      <c r="J10" s="3" t="s">
        <v>25</v>
      </c>
      <c r="K10" s="3" t="s">
        <v>17</v>
      </c>
    </row>
    <row r="11" spans="1:12" ht="30" x14ac:dyDescent="0.25">
      <c r="A11" s="3">
        <v>1010</v>
      </c>
      <c r="B11" s="4">
        <v>46037</v>
      </c>
      <c r="C11" s="3" t="s">
        <v>40</v>
      </c>
      <c r="D11" s="3" t="s">
        <v>22</v>
      </c>
      <c r="E11" s="3" t="s">
        <v>27</v>
      </c>
      <c r="F11" s="3" t="s">
        <v>20</v>
      </c>
      <c r="G11" s="3">
        <v>120000</v>
      </c>
      <c r="H11" s="3">
        <v>2</v>
      </c>
      <c r="I11" s="3">
        <v>0</v>
      </c>
      <c r="J11" s="3" t="s">
        <v>25</v>
      </c>
      <c r="K11" s="3" t="s">
        <v>17</v>
      </c>
    </row>
    <row r="12" spans="1:12" ht="30" x14ac:dyDescent="0.25">
      <c r="A12" s="3">
        <v>1010</v>
      </c>
      <c r="B12" s="4">
        <v>46037</v>
      </c>
      <c r="C12" s="3" t="s">
        <v>40</v>
      </c>
      <c r="D12" s="3" t="s">
        <v>22</v>
      </c>
      <c r="E12" s="3" t="s">
        <v>27</v>
      </c>
      <c r="F12" s="3" t="s">
        <v>20</v>
      </c>
      <c r="G12" s="3">
        <v>120000</v>
      </c>
      <c r="H12" s="3">
        <v>2</v>
      </c>
      <c r="I12" s="3">
        <v>0</v>
      </c>
      <c r="J12" s="3" t="s">
        <v>25</v>
      </c>
      <c r="K12" s="3" t="s">
        <v>17</v>
      </c>
    </row>
    <row r="13" spans="1:12" ht="30" x14ac:dyDescent="0.25">
      <c r="A13" s="3">
        <v>1011</v>
      </c>
      <c r="B13" s="4">
        <v>46038</v>
      </c>
      <c r="C13" s="3" t="s">
        <v>41</v>
      </c>
      <c r="D13" s="3" t="s">
        <v>12</v>
      </c>
      <c r="E13" s="3" t="s">
        <v>31</v>
      </c>
      <c r="F13" s="3" t="s">
        <v>32</v>
      </c>
      <c r="G13" s="3">
        <v>780000</v>
      </c>
      <c r="H13" s="3">
        <v>1</v>
      </c>
      <c r="I13" s="3"/>
      <c r="J13" s="3" t="s">
        <v>25</v>
      </c>
      <c r="K13" s="3" t="s">
        <v>17</v>
      </c>
    </row>
    <row r="14" spans="1:12" ht="30" x14ac:dyDescent="0.25">
      <c r="A14" s="3">
        <v>1012</v>
      </c>
      <c r="B14" s="4">
        <v>46039</v>
      </c>
      <c r="C14" s="3" t="s">
        <v>42</v>
      </c>
      <c r="D14" s="3" t="s">
        <v>34</v>
      </c>
      <c r="E14" s="3" t="s">
        <v>13</v>
      </c>
      <c r="F14" s="3" t="s">
        <v>14</v>
      </c>
      <c r="G14" s="3">
        <v>85000</v>
      </c>
      <c r="H14" s="3">
        <v>3</v>
      </c>
      <c r="I14" s="3" t="s">
        <v>15</v>
      </c>
      <c r="J14" s="3" t="s">
        <v>16</v>
      </c>
      <c r="K14" s="3" t="s">
        <v>43</v>
      </c>
    </row>
  </sheetData>
  <sortState xmlns:xlrd2="http://schemas.microsoft.com/office/spreadsheetml/2017/richdata2" ref="A3:K14">
    <sortCondition descending="1" ref="A2:A1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5BBB-4E67-406F-9AC2-F3F6E22EB2B7}">
  <dimension ref="A1:O15"/>
  <sheetViews>
    <sheetView topLeftCell="G1" workbookViewId="0">
      <selection activeCell="O14" sqref="O14"/>
    </sheetView>
  </sheetViews>
  <sheetFormatPr baseColWidth="10" defaultRowHeight="15" x14ac:dyDescent="0.25"/>
  <cols>
    <col min="3" max="3" width="15.42578125" customWidth="1"/>
    <col min="4" max="4" width="12.85546875" customWidth="1"/>
    <col min="5" max="6" width="15.140625" customWidth="1"/>
    <col min="7" max="7" width="19.7109375" customWidth="1"/>
    <col min="8" max="8" width="14.140625" customWidth="1"/>
    <col min="9" max="9" width="14.85546875" customWidth="1"/>
    <col min="10" max="10" width="15.7109375" customWidth="1"/>
    <col min="11" max="11" width="13.85546875" customWidth="1"/>
    <col min="12" max="12" width="33.7109375" style="11" customWidth="1"/>
    <col min="13" max="13" width="22" customWidth="1"/>
    <col min="14" max="14" width="16.5703125" customWidth="1"/>
    <col min="15" max="15" width="22.85546875" customWidth="1"/>
    <col min="16" max="16" width="11.42578125" customWidth="1"/>
    <col min="19" max="19" width="11.42578125" customWidth="1"/>
  </cols>
  <sheetData>
    <row r="1" spans="1:15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50</v>
      </c>
      <c r="H1" s="2" t="s">
        <v>7</v>
      </c>
      <c r="I1" s="2" t="s">
        <v>8</v>
      </c>
      <c r="J1" s="2" t="s">
        <v>9</v>
      </c>
      <c r="K1" s="2" t="s">
        <v>10</v>
      </c>
      <c r="L1" s="17" t="s">
        <v>44</v>
      </c>
      <c r="M1" s="2" t="s">
        <v>45</v>
      </c>
      <c r="N1" s="17" t="s">
        <v>46</v>
      </c>
      <c r="O1" s="17" t="s">
        <v>47</v>
      </c>
    </row>
    <row r="2" spans="1:15" ht="15" customHeight="1" x14ac:dyDescent="0.25">
      <c r="A2" s="1">
        <v>1001</v>
      </c>
      <c r="B2" s="6">
        <v>46025</v>
      </c>
      <c r="C2" s="1" t="s">
        <v>11</v>
      </c>
      <c r="D2" s="1" t="s">
        <v>12</v>
      </c>
      <c r="E2" s="1" t="s">
        <v>13</v>
      </c>
      <c r="F2" s="1" t="s">
        <v>14</v>
      </c>
      <c r="G2" s="12">
        <v>85000</v>
      </c>
      <c r="H2" s="1">
        <v>2</v>
      </c>
      <c r="I2" s="9">
        <v>0.05</v>
      </c>
      <c r="J2" s="1" t="s">
        <v>16</v>
      </c>
      <c r="K2" s="13" t="s">
        <v>17</v>
      </c>
      <c r="L2" s="7">
        <f t="shared" ref="L2:L13" si="0">H2*G2</f>
        <v>170000</v>
      </c>
      <c r="M2" s="19">
        <f>Tabla3[[#This Row],[Venta Bruta]]*Tabla3[[#This Row],[Descuento]]</f>
        <v>8500</v>
      </c>
      <c r="N2" s="7">
        <f>Tabla3[[#This Row],[Venta Bruta]]-Tabla3[[#This Row],[Valor Descuento]]</f>
        <v>161500</v>
      </c>
      <c r="O2" s="7">
        <f>IF(Tabla3[[#This Row],[Estado]]="Completado", Tabla3[[#This Row],[Venta Neta]], 0)</f>
        <v>161500</v>
      </c>
    </row>
    <row r="3" spans="1:15" x14ac:dyDescent="0.25">
      <c r="A3" s="1">
        <v>1002</v>
      </c>
      <c r="B3" s="6">
        <v>46026</v>
      </c>
      <c r="C3" s="1" t="s">
        <v>18</v>
      </c>
      <c r="D3" s="1" t="s">
        <v>12</v>
      </c>
      <c r="E3" s="1" t="s">
        <v>19</v>
      </c>
      <c r="F3" s="10" t="s">
        <v>20</v>
      </c>
      <c r="G3" s="12">
        <v>70000</v>
      </c>
      <c r="H3" s="1">
        <v>1</v>
      </c>
      <c r="I3" s="27">
        <v>0</v>
      </c>
      <c r="J3" s="1" t="s">
        <v>16</v>
      </c>
      <c r="K3" s="13" t="s">
        <v>17</v>
      </c>
      <c r="L3" s="7">
        <f t="shared" si="0"/>
        <v>70000</v>
      </c>
      <c r="M3" s="7">
        <f>Tabla3[[#This Row],[Venta Bruta]]*Tabla3[[#This Row],[Descuento]]</f>
        <v>0</v>
      </c>
      <c r="N3" s="19">
        <f>Tabla3[[#This Row],[Venta Bruta]]-Tabla3[[#This Row],[Valor Descuento]]</f>
        <v>70000</v>
      </c>
      <c r="O3" s="19">
        <f>IF(Tabla3[[#This Row],[Estado]]="Completado", Tabla3[[#This Row],[Venta Neta]], 0)</f>
        <v>70000</v>
      </c>
    </row>
    <row r="4" spans="1:15" x14ac:dyDescent="0.25">
      <c r="A4" s="1">
        <v>1003</v>
      </c>
      <c r="B4" s="6">
        <v>46027</v>
      </c>
      <c r="C4" s="1" t="s">
        <v>49</v>
      </c>
      <c r="D4" s="1" t="s">
        <v>22</v>
      </c>
      <c r="E4" s="1" t="s">
        <v>23</v>
      </c>
      <c r="F4" s="1" t="s">
        <v>20</v>
      </c>
      <c r="G4" s="12">
        <v>45000</v>
      </c>
      <c r="H4" s="1">
        <v>3</v>
      </c>
      <c r="I4" s="9">
        <v>0.1</v>
      </c>
      <c r="J4" s="1" t="s">
        <v>25</v>
      </c>
      <c r="K4" s="13" t="s">
        <v>17</v>
      </c>
      <c r="L4" s="7">
        <f t="shared" si="0"/>
        <v>135000</v>
      </c>
      <c r="M4" s="7">
        <f>Tabla3[[#This Row],[Venta Bruta]]*Tabla3[[#This Row],[Descuento]]</f>
        <v>13500</v>
      </c>
      <c r="N4" s="19">
        <f>Tabla3[[#This Row],[Venta Bruta]]-Tabla3[[#This Row],[Valor Descuento]]</f>
        <v>121500</v>
      </c>
      <c r="O4" s="19">
        <f>IF(Tabla3[[#This Row],[Estado]]="Completado", Tabla3[[#This Row],[Venta Neta]], 0)</f>
        <v>121500</v>
      </c>
    </row>
    <row r="5" spans="1:15" x14ac:dyDescent="0.25">
      <c r="A5" s="1">
        <v>1004</v>
      </c>
      <c r="B5" s="6">
        <v>46027</v>
      </c>
      <c r="C5" s="1" t="s">
        <v>26</v>
      </c>
      <c r="D5" s="1" t="s">
        <v>12</v>
      </c>
      <c r="E5" s="1" t="s">
        <v>27</v>
      </c>
      <c r="F5" s="1" t="s">
        <v>20</v>
      </c>
      <c r="G5" s="12">
        <v>120000</v>
      </c>
      <c r="H5" s="1">
        <v>1</v>
      </c>
      <c r="I5" s="9">
        <v>0.05</v>
      </c>
      <c r="J5" s="1" t="s">
        <v>16</v>
      </c>
      <c r="K5" s="14" t="s">
        <v>28</v>
      </c>
      <c r="L5" s="7">
        <f t="shared" si="0"/>
        <v>120000</v>
      </c>
      <c r="M5" s="7">
        <f>Tabla3[[#This Row],[Venta Bruta]]*Tabla3[[#This Row],[Descuento]]</f>
        <v>6000</v>
      </c>
      <c r="N5" s="19">
        <f>Tabla3[[#This Row],[Venta Bruta]]-Tabla3[[#This Row],[Valor Descuento]]</f>
        <v>114000</v>
      </c>
      <c r="O5" s="20">
        <f>IF(Tabla3[[#This Row],[Estado]]="Completado", Tabla3[[#This Row],[Venta Neta]], 0)</f>
        <v>0</v>
      </c>
    </row>
    <row r="6" spans="1:15" x14ac:dyDescent="0.25">
      <c r="A6" s="1">
        <v>1005</v>
      </c>
      <c r="B6" s="6">
        <v>46029</v>
      </c>
      <c r="C6" s="1" t="s">
        <v>29</v>
      </c>
      <c r="D6" s="1" t="s">
        <v>30</v>
      </c>
      <c r="E6" s="1" t="s">
        <v>31</v>
      </c>
      <c r="F6" s="1" t="s">
        <v>32</v>
      </c>
      <c r="G6" s="12">
        <v>780000</v>
      </c>
      <c r="H6" s="1">
        <v>1</v>
      </c>
      <c r="I6" s="9">
        <v>0</v>
      </c>
      <c r="J6" s="1" t="s">
        <v>25</v>
      </c>
      <c r="K6" s="13" t="s">
        <v>17</v>
      </c>
      <c r="L6" s="7">
        <f t="shared" si="0"/>
        <v>780000</v>
      </c>
      <c r="M6" s="7">
        <f>Tabla3[[#This Row],[Venta Bruta]]*Tabla3[[#This Row],[Descuento]]</f>
        <v>0</v>
      </c>
      <c r="N6" s="19">
        <f>Tabla3[[#This Row],[Venta Bruta]]-Tabla3[[#This Row],[Valor Descuento]]</f>
        <v>780000</v>
      </c>
      <c r="O6" s="19">
        <f>IF(Tabla3[[#This Row],[Estado]]="Completado", Tabla3[[#This Row],[Venta Neta]], 0)</f>
        <v>780000</v>
      </c>
    </row>
    <row r="7" spans="1:15" x14ac:dyDescent="0.25">
      <c r="A7" s="1">
        <v>1006</v>
      </c>
      <c r="B7" s="6">
        <v>46031</v>
      </c>
      <c r="C7" s="1" t="s">
        <v>33</v>
      </c>
      <c r="D7" s="1" t="s">
        <v>30</v>
      </c>
      <c r="E7" s="1" t="s">
        <v>31</v>
      </c>
      <c r="F7" s="1" t="s">
        <v>32</v>
      </c>
      <c r="G7" s="12">
        <v>780000</v>
      </c>
      <c r="H7" s="1">
        <v>2</v>
      </c>
      <c r="I7" s="9">
        <v>0.05</v>
      </c>
      <c r="J7" s="1" t="s">
        <v>25</v>
      </c>
      <c r="K7" s="13" t="s">
        <v>17</v>
      </c>
      <c r="L7" s="7">
        <f t="shared" si="0"/>
        <v>1560000</v>
      </c>
      <c r="M7" s="7">
        <f>Tabla3[[#This Row],[Venta Bruta]]*Tabla3[[#This Row],[Descuento]]</f>
        <v>78000</v>
      </c>
      <c r="N7" s="19">
        <f>Tabla3[[#This Row],[Venta Bruta]]-Tabla3[[#This Row],[Valor Descuento]]</f>
        <v>1482000</v>
      </c>
      <c r="O7" s="19">
        <f>IF(Tabla3[[#This Row],[Estado]]="Completado", Tabla3[[#This Row],[Venta Neta]], 0)</f>
        <v>1482000</v>
      </c>
    </row>
    <row r="8" spans="1:15" ht="15" customHeight="1" x14ac:dyDescent="0.25">
      <c r="A8" s="1">
        <v>1007</v>
      </c>
      <c r="B8" s="6">
        <v>46033</v>
      </c>
      <c r="C8" s="1" t="s">
        <v>11</v>
      </c>
      <c r="D8" s="1" t="s">
        <v>12</v>
      </c>
      <c r="E8" s="1" t="s">
        <v>13</v>
      </c>
      <c r="F8" s="1" t="s">
        <v>14</v>
      </c>
      <c r="G8" s="12">
        <v>85000</v>
      </c>
      <c r="H8" s="1">
        <v>1</v>
      </c>
      <c r="I8" s="9">
        <v>0</v>
      </c>
      <c r="J8" s="1" t="s">
        <v>16</v>
      </c>
      <c r="K8" s="15" t="s">
        <v>35</v>
      </c>
      <c r="L8" s="7">
        <f t="shared" si="0"/>
        <v>85000</v>
      </c>
      <c r="M8" s="7">
        <f>Tabla3[[#This Row],[Venta Bruta]]*Tabla3[[#This Row],[Descuento]]</f>
        <v>0</v>
      </c>
      <c r="N8" s="19">
        <f>Tabla3[[#This Row],[Venta Bruta]]-Tabla3[[#This Row],[Valor Descuento]]</f>
        <v>85000</v>
      </c>
      <c r="O8" s="21">
        <f>IF(Tabla3[[#This Row],[Estado]]="Completado", Tabla3[[#This Row],[Venta Neta]], 0)</f>
        <v>0</v>
      </c>
    </row>
    <row r="9" spans="1:15" x14ac:dyDescent="0.25">
      <c r="A9" s="1">
        <v>1008</v>
      </c>
      <c r="B9" s="6">
        <v>46034</v>
      </c>
      <c r="C9" s="1" t="s">
        <v>48</v>
      </c>
      <c r="D9" s="1" t="s">
        <v>12</v>
      </c>
      <c r="E9" s="1" t="s">
        <v>19</v>
      </c>
      <c r="F9" s="1" t="s">
        <v>20</v>
      </c>
      <c r="G9" s="12">
        <v>70000</v>
      </c>
      <c r="H9" s="1">
        <v>2</v>
      </c>
      <c r="I9" s="9">
        <v>0</v>
      </c>
      <c r="J9" s="1" t="s">
        <v>16</v>
      </c>
      <c r="K9" s="13" t="s">
        <v>17</v>
      </c>
      <c r="L9" s="7">
        <f t="shared" si="0"/>
        <v>140000</v>
      </c>
      <c r="M9" s="7">
        <f>Tabla3[[#This Row],[Venta Bruta]]*Tabla3[[#This Row],[Descuento]]</f>
        <v>0</v>
      </c>
      <c r="N9" s="19">
        <f>Tabla3[[#This Row],[Venta Bruta]]-Tabla3[[#This Row],[Valor Descuento]]</f>
        <v>140000</v>
      </c>
      <c r="O9" s="19">
        <f>IF(Tabla3[[#This Row],[Estado]]="Completado", Tabla3[[#This Row],[Venta Neta]], 0)</f>
        <v>140000</v>
      </c>
    </row>
    <row r="10" spans="1:15" x14ac:dyDescent="0.25">
      <c r="A10" s="1">
        <v>1009</v>
      </c>
      <c r="B10" s="6">
        <v>46035</v>
      </c>
      <c r="C10" s="1" t="s">
        <v>37</v>
      </c>
      <c r="D10" s="1" t="s">
        <v>38</v>
      </c>
      <c r="E10" s="1" t="s">
        <v>39</v>
      </c>
      <c r="F10" s="1" t="s">
        <v>20</v>
      </c>
      <c r="G10" s="12">
        <v>95000</v>
      </c>
      <c r="H10" s="1">
        <v>2</v>
      </c>
      <c r="I10" s="9">
        <v>0.1</v>
      </c>
      <c r="J10" s="1" t="s">
        <v>25</v>
      </c>
      <c r="K10" s="13" t="s">
        <v>17</v>
      </c>
      <c r="L10" s="7">
        <f t="shared" si="0"/>
        <v>190000</v>
      </c>
      <c r="M10" s="7">
        <f>Tabla3[[#This Row],[Venta Bruta]]*Tabla3[[#This Row],[Descuento]]</f>
        <v>19000</v>
      </c>
      <c r="N10" s="19">
        <f>Tabla3[[#This Row],[Venta Bruta]]-Tabla3[[#This Row],[Valor Descuento]]</f>
        <v>171000</v>
      </c>
      <c r="O10" s="19">
        <f>IF(Tabla3[[#This Row],[Estado]]="Completado", Tabla3[[#This Row],[Venta Neta]], 0)</f>
        <v>171000</v>
      </c>
    </row>
    <row r="11" spans="1:15" x14ac:dyDescent="0.25">
      <c r="A11" s="1">
        <v>1010</v>
      </c>
      <c r="B11" s="6">
        <v>46037</v>
      </c>
      <c r="C11" s="1" t="s">
        <v>40</v>
      </c>
      <c r="D11" s="1" t="s">
        <v>22</v>
      </c>
      <c r="E11" s="1" t="s">
        <v>27</v>
      </c>
      <c r="F11" s="1" t="s">
        <v>20</v>
      </c>
      <c r="G11" s="12">
        <v>120000</v>
      </c>
      <c r="H11" s="1">
        <v>2</v>
      </c>
      <c r="I11" s="9">
        <v>0</v>
      </c>
      <c r="J11" s="1" t="s">
        <v>25</v>
      </c>
      <c r="K11" s="13" t="s">
        <v>17</v>
      </c>
      <c r="L11" s="7">
        <f t="shared" si="0"/>
        <v>240000</v>
      </c>
      <c r="M11" s="7">
        <f>Tabla3[[#This Row],[Venta Bruta]]*Tabla3[[#This Row],[Descuento]]</f>
        <v>0</v>
      </c>
      <c r="N11" s="19">
        <f>Tabla3[[#This Row],[Venta Bruta]]-Tabla3[[#This Row],[Valor Descuento]]</f>
        <v>240000</v>
      </c>
      <c r="O11" s="19">
        <f>IF(Tabla3[[#This Row],[Estado]]="Completado", Tabla3[[#This Row],[Venta Neta]], 0)</f>
        <v>240000</v>
      </c>
    </row>
    <row r="12" spans="1:15" x14ac:dyDescent="0.25">
      <c r="A12" s="1">
        <v>1011</v>
      </c>
      <c r="B12" s="6">
        <v>46038</v>
      </c>
      <c r="C12" s="1" t="s">
        <v>41</v>
      </c>
      <c r="D12" s="1" t="s">
        <v>12</v>
      </c>
      <c r="E12" s="1" t="s">
        <v>31</v>
      </c>
      <c r="F12" s="1" t="s">
        <v>32</v>
      </c>
      <c r="G12" s="12">
        <v>780000</v>
      </c>
      <c r="H12" s="1">
        <v>1</v>
      </c>
      <c r="I12" s="9">
        <v>0</v>
      </c>
      <c r="J12" s="1" t="s">
        <v>25</v>
      </c>
      <c r="K12" s="13" t="s">
        <v>17</v>
      </c>
      <c r="L12" s="7">
        <f t="shared" si="0"/>
        <v>780000</v>
      </c>
      <c r="M12" s="7">
        <f>Tabla3[[#This Row],[Venta Bruta]]*Tabla3[[#This Row],[Descuento]]</f>
        <v>0</v>
      </c>
      <c r="N12" s="19">
        <f>Tabla3[[#This Row],[Venta Bruta]]-Tabla3[[#This Row],[Valor Descuento]]</f>
        <v>780000</v>
      </c>
      <c r="O12" s="19">
        <f>IF(Tabla3[[#This Row],[Estado]]="Completado", Tabla3[[#This Row],[Venta Neta]], 0)</f>
        <v>780000</v>
      </c>
    </row>
    <row r="13" spans="1:15" ht="15" customHeight="1" x14ac:dyDescent="0.25">
      <c r="A13" s="1">
        <v>1012</v>
      </c>
      <c r="B13" s="6">
        <v>46039</v>
      </c>
      <c r="C13" s="1" t="s">
        <v>42</v>
      </c>
      <c r="D13" s="1" t="s">
        <v>30</v>
      </c>
      <c r="E13" s="1" t="s">
        <v>13</v>
      </c>
      <c r="F13" s="1" t="s">
        <v>14</v>
      </c>
      <c r="G13" s="12">
        <v>85000</v>
      </c>
      <c r="H13" s="1">
        <v>3</v>
      </c>
      <c r="I13" s="9">
        <v>0.05</v>
      </c>
      <c r="J13" s="1" t="s">
        <v>16</v>
      </c>
      <c r="K13" s="16" t="s">
        <v>43</v>
      </c>
      <c r="L13" s="7">
        <f t="shared" si="0"/>
        <v>255000</v>
      </c>
      <c r="M13" s="7">
        <f>Tabla3[[#This Row],[Venta Bruta]]*Tabla3[[#This Row],[Descuento]]</f>
        <v>12750</v>
      </c>
      <c r="N13" s="19">
        <f>Tabla3[[#This Row],[Venta Bruta]]-Tabla3[[#This Row],[Valor Descuento]]</f>
        <v>242250</v>
      </c>
      <c r="O13" s="22">
        <f>IF(Tabla3[[#This Row],[Estado]]="Completado", Tabla3[[#This Row],[Venta Neta]], 0)</f>
        <v>0</v>
      </c>
    </row>
    <row r="14" spans="1:15" x14ac:dyDescent="0.25">
      <c r="F14" s="5"/>
    </row>
    <row r="15" spans="1:15" x14ac:dyDescent="0.25">
      <c r="L15" s="2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E1029-4515-4F87-BBD6-E05E0703F5C4}">
  <dimension ref="A1:I43"/>
  <sheetViews>
    <sheetView tabSelected="1" zoomScaleNormal="100" workbookViewId="0">
      <selection activeCell="D4" sqref="D4"/>
    </sheetView>
  </sheetViews>
  <sheetFormatPr baseColWidth="10" defaultRowHeight="15" x14ac:dyDescent="0.25"/>
  <cols>
    <col min="1" max="1" width="26.5703125" customWidth="1"/>
    <col min="2" max="2" width="19.7109375" customWidth="1"/>
    <col min="3" max="3" width="27.42578125" customWidth="1"/>
    <col min="4" max="4" width="23.28515625" customWidth="1"/>
    <col min="5" max="5" width="18.5703125" customWidth="1"/>
    <col min="6" max="6" width="22" customWidth="1"/>
    <col min="7" max="7" width="21.5703125" customWidth="1"/>
    <col min="8" max="8" width="22.42578125" customWidth="1"/>
    <col min="9" max="9" width="38" customWidth="1"/>
  </cols>
  <sheetData>
    <row r="1" spans="1:9" ht="19.5" customHeight="1" x14ac:dyDescent="0.25">
      <c r="A1" s="30" t="s">
        <v>51</v>
      </c>
      <c r="B1" s="30" t="s">
        <v>52</v>
      </c>
      <c r="C1" s="30" t="s">
        <v>53</v>
      </c>
      <c r="D1" s="30" t="s">
        <v>70</v>
      </c>
      <c r="E1" s="30" t="s">
        <v>58</v>
      </c>
      <c r="F1" s="30" t="s">
        <v>54</v>
      </c>
      <c r="G1" s="30" t="s">
        <v>55</v>
      </c>
      <c r="H1" s="30" t="s">
        <v>56</v>
      </c>
      <c r="I1" s="30" t="s">
        <v>57</v>
      </c>
    </row>
    <row r="2" spans="1:9" ht="15.75" x14ac:dyDescent="0.3">
      <c r="A2" s="31">
        <f>SUM(Datos_Limpios!O2:O13)</f>
        <v>3946000</v>
      </c>
      <c r="B2" s="31">
        <f>SUMIF(Datos_Limpios!K2:K13,"Completado",Datos_Limpios!H2:H13)</f>
        <v>16</v>
      </c>
      <c r="C2" s="31">
        <f>COUNTA(Datos_Limpios!A2:A13)</f>
        <v>12</v>
      </c>
      <c r="D2" s="32">
        <f>COUNTIF(Datos_Limpios!K2:K13,"Completado")</f>
        <v>9</v>
      </c>
      <c r="E2" s="31">
        <f>AVERAGEIF(Datos_Limpios!K2:K13,"Completado",Datos_Limpios!N2:N13)</f>
        <v>438444.44444444444</v>
      </c>
      <c r="F2" s="31" t="s">
        <v>59</v>
      </c>
      <c r="G2" s="31" t="s">
        <v>60</v>
      </c>
      <c r="H2" s="31" t="s">
        <v>61</v>
      </c>
      <c r="I2" s="31" t="s">
        <v>62</v>
      </c>
    </row>
    <row r="3" spans="1:9" x14ac:dyDescent="0.25">
      <c r="A3" s="7"/>
      <c r="B3" s="7"/>
      <c r="E3" s="7"/>
      <c r="F3" s="7"/>
      <c r="G3" s="7"/>
      <c r="H3" s="7"/>
      <c r="I3" s="33" t="s">
        <v>63</v>
      </c>
    </row>
    <row r="4" spans="1:9" x14ac:dyDescent="0.25">
      <c r="A4" s="7"/>
      <c r="B4" s="7"/>
      <c r="E4" s="26"/>
      <c r="F4" s="7"/>
      <c r="G4" s="7"/>
      <c r="H4" s="7"/>
      <c r="I4" s="35" t="s">
        <v>64</v>
      </c>
    </row>
    <row r="5" spans="1:9" x14ac:dyDescent="0.25">
      <c r="A5" s="7"/>
      <c r="B5" s="7"/>
      <c r="C5" s="7"/>
      <c r="E5" s="26"/>
      <c r="F5" s="7"/>
      <c r="G5" s="7"/>
      <c r="H5" s="7"/>
      <c r="I5" s="34" t="s">
        <v>65</v>
      </c>
    </row>
    <row r="7" spans="1:9" x14ac:dyDescent="0.25">
      <c r="E7" s="28" t="s">
        <v>67</v>
      </c>
      <c r="F7" s="28" t="s">
        <v>66</v>
      </c>
    </row>
    <row r="8" spans="1:9" x14ac:dyDescent="0.25">
      <c r="E8" s="28" t="s">
        <v>68</v>
      </c>
      <c r="F8" s="28">
        <v>2</v>
      </c>
    </row>
    <row r="9" spans="1:9" x14ac:dyDescent="0.25">
      <c r="E9" s="28" t="s">
        <v>31</v>
      </c>
      <c r="F9" s="28">
        <v>4</v>
      </c>
    </row>
    <row r="10" spans="1:9" x14ac:dyDescent="0.25">
      <c r="A10" s="24" t="s">
        <v>3</v>
      </c>
      <c r="B10" s="24" t="s">
        <v>66</v>
      </c>
      <c r="E10" s="28" t="s">
        <v>23</v>
      </c>
      <c r="F10" s="28">
        <v>3</v>
      </c>
    </row>
    <row r="11" spans="1:9" x14ac:dyDescent="0.25">
      <c r="A11" s="25" t="s">
        <v>12</v>
      </c>
      <c r="B11" s="25">
        <v>4</v>
      </c>
      <c r="E11" s="28" t="s">
        <v>69</v>
      </c>
      <c r="F11" s="28">
        <v>2</v>
      </c>
    </row>
    <row r="12" spans="1:9" x14ac:dyDescent="0.25">
      <c r="A12" s="25" t="s">
        <v>30</v>
      </c>
      <c r="B12" s="25">
        <v>2</v>
      </c>
      <c r="E12" s="28" t="s">
        <v>19</v>
      </c>
      <c r="F12" s="28">
        <v>3</v>
      </c>
    </row>
    <row r="13" spans="1:9" x14ac:dyDescent="0.25">
      <c r="A13" s="25" t="s">
        <v>22</v>
      </c>
      <c r="B13" s="25">
        <v>2</v>
      </c>
      <c r="E13" s="28" t="s">
        <v>27</v>
      </c>
      <c r="F13" s="28">
        <v>2</v>
      </c>
    </row>
    <row r="14" spans="1:9" x14ac:dyDescent="0.25">
      <c r="A14" s="25" t="s">
        <v>38</v>
      </c>
      <c r="B14" s="25">
        <v>1</v>
      </c>
      <c r="E14" s="18"/>
      <c r="F14" s="18"/>
    </row>
    <row r="22" spans="1:6" x14ac:dyDescent="0.25">
      <c r="A22" s="2" t="s">
        <v>3</v>
      </c>
      <c r="B22" s="2" t="s">
        <v>75</v>
      </c>
    </row>
    <row r="23" spans="1:6" x14ac:dyDescent="0.25">
      <c r="A23" s="3" t="s">
        <v>30</v>
      </c>
      <c r="B23" s="29">
        <v>2262000</v>
      </c>
    </row>
    <row r="24" spans="1:6" x14ac:dyDescent="0.25">
      <c r="A24" s="3" t="s">
        <v>12</v>
      </c>
      <c r="B24" s="29">
        <v>1151500</v>
      </c>
      <c r="E24" s="2" t="s">
        <v>9</v>
      </c>
      <c r="F24" s="2" t="s">
        <v>75</v>
      </c>
    </row>
    <row r="25" spans="1:6" x14ac:dyDescent="0.25">
      <c r="A25" s="3" t="s">
        <v>22</v>
      </c>
      <c r="B25" s="29">
        <v>361500</v>
      </c>
      <c r="E25" s="3" t="s">
        <v>25</v>
      </c>
      <c r="F25" s="29">
        <v>3574500</v>
      </c>
    </row>
    <row r="26" spans="1:6" x14ac:dyDescent="0.25">
      <c r="A26" s="3" t="s">
        <v>38</v>
      </c>
      <c r="B26" s="29">
        <v>171000</v>
      </c>
      <c r="E26" s="3" t="s">
        <v>16</v>
      </c>
      <c r="F26" s="29">
        <v>371500</v>
      </c>
    </row>
    <row r="43" spans="6:6" x14ac:dyDescent="0.25">
      <c r="F43" s="5"/>
    </row>
  </sheetData>
  <phoneticPr fontId="6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Datos_Raw</vt:lpstr>
      <vt:lpstr>Datos_Limpios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David Ruiz</dc:creator>
  <cp:lastModifiedBy>Abraham David Ruiz</cp:lastModifiedBy>
  <dcterms:created xsi:type="dcterms:W3CDTF">2026-09-25T21:05:05Z</dcterms:created>
  <dcterms:modified xsi:type="dcterms:W3CDTF">2026-09-26T04:40:52Z</dcterms:modified>
</cp:coreProperties>
</file>